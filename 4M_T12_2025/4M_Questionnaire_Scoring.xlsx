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M_Ques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0F2FE"/>
      </patternFill>
    </fill>
    <fill>
      <patternFill patternType="solid">
        <fgColor rgb="00F3E8FF"/>
      </patternFill>
    </fill>
    <fill>
      <patternFill patternType="solid">
        <fgColor rgb="00FFEDD5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48" customWidth="1" min="3" max="3"/>
    <col width="34" customWidth="1" min="4" max="4"/>
    <col width="46" customWidth="1" min="5" max="5"/>
    <col width="32" customWidth="1" min="6" max="6"/>
    <col width="24" customWidth="1" min="7" max="7"/>
    <col width="22" customWidth="1" min="8" max="8"/>
    <col width="14" customWidth="1" min="9" max="9"/>
    <col width="14" customWidth="1" min="10" max="10"/>
    <col width="12" customWidth="1" min="11" max="11"/>
    <col width="14" customWidth="1" min="12" max="12"/>
    <col width="26" customWidth="1" min="13" max="13"/>
    <col width="14" customWidth="1" min="14" max="14"/>
  </cols>
  <sheetData>
    <row r="1">
      <c r="A1" s="1" t="inlineStr">
        <is>
          <t>Question_ID</t>
        </is>
      </c>
      <c r="B1" s="1" t="inlineStr">
        <is>
          <t>M_group</t>
        </is>
      </c>
      <c r="C1" s="1" t="inlineStr">
        <is>
          <t>Question</t>
        </is>
      </c>
      <c r="D1" s="1" t="inlineStr">
        <is>
          <t>Expected_Source</t>
        </is>
      </c>
      <c r="E1" s="1" t="inlineStr">
        <is>
          <t>Answer_Guideline</t>
        </is>
      </c>
      <c r="F1" s="1" t="inlineStr">
        <is>
          <t>Scoring_Criteria</t>
        </is>
      </c>
      <c r="G1" s="1" t="inlineStr">
        <is>
          <t>Scoring_Rule</t>
        </is>
      </c>
      <c r="H1" s="1" t="inlineStr">
        <is>
          <t>Data_Indicator</t>
        </is>
      </c>
      <c r="I1" s="1" t="inlineStr">
        <is>
          <t>Confidence_Eval</t>
        </is>
      </c>
      <c r="J1" s="1" t="inlineStr">
        <is>
          <t>Evidence_Chunk_ID</t>
        </is>
      </c>
      <c r="K1" s="1" t="inlineStr">
        <is>
          <t>Auto_Score</t>
        </is>
      </c>
      <c r="L1" s="1" t="inlineStr">
        <is>
          <t>Reviewer_Score</t>
        </is>
      </c>
      <c r="M1" s="1" t="inlineStr">
        <is>
          <t>Comments</t>
        </is>
      </c>
      <c r="N1" s="1" t="inlineStr">
        <is>
          <t>Final_Score</t>
        </is>
      </c>
    </row>
    <row r="2">
      <c r="A2" s="2" t="inlineStr">
        <is>
          <t>M1.1</t>
        </is>
      </c>
      <c r="B2" s="2" t="inlineStr">
        <is>
          <t>Meaning</t>
        </is>
      </c>
      <c r="C2" s="2" t="inlineStr">
        <is>
          <t>Sản phẩm/dịch vụ chính giải quyết pain point nào? Nhu cầu có lớn &amp; bền vững?</t>
        </is>
      </c>
      <c r="D2" s="2" t="inlineStr">
        <is>
          <t>Báo cáo thường niên, ĐHĐCĐ, website IR, báo chí ngành</t>
        </is>
      </c>
      <c r="E2" s="2" t="inlineStr">
        <is>
          <t>Tóm tắt mô hình &amp; “vấn đề khách hàng → giải pháp”, có bằng chứng thị trường.</t>
        </is>
      </c>
      <c r="F2" s="2" t="inlineStr">
        <is>
          <t>0–1: mơ hồ; 2–3: chung chung; 4–5: rõ ràng &amp; có minh chứng</t>
        </is>
      </c>
      <c r="G2" s="2" t="inlineStr">
        <is>
          <t>CAGR &gt; 8% → +1</t>
        </is>
      </c>
      <c r="H2" s="2" t="inlineStr">
        <is>
          <t>CAGR doanh thu, thị phần</t>
        </is>
      </c>
      <c r="I2" s="2" t="inlineStr">
        <is>
          <t>High</t>
        </is>
      </c>
      <c r="J2" s="2" t="inlineStr">
        <is>
          <t>CHK_001</t>
        </is>
      </c>
      <c r="K2" s="2" t="n">
        <v>4</v>
      </c>
      <c r="L2" s="2" t="n">
        <v>4</v>
      </c>
      <c r="M2" s="2" t="inlineStr">
        <is>
          <t>Trích mô tả SP chủ lực</t>
        </is>
      </c>
      <c r="N2" s="2" t="n">
        <v>4</v>
      </c>
    </row>
    <row r="3">
      <c r="A3" s="2" t="inlineStr">
        <is>
          <t>M1.2</t>
        </is>
      </c>
      <c r="B3" s="2" t="inlineStr">
        <is>
          <t>Meaning</t>
        </is>
      </c>
      <c r="C3" s="2" t="inlineStr">
        <is>
          <t>Cơ cấu doanh thu có phụ thuộc &gt;1 mảng/khách/kênh?</t>
        </is>
      </c>
      <c r="D3" s="2" t="inlineStr">
        <is>
          <t>BCTC (thuyết minh), báo cáo ngành</t>
        </is>
      </c>
      <c r="E3" s="2" t="inlineStr">
        <is>
          <t>Liệt kê 3 mảng lớn nhất; đánh giá phụ thuộc.</t>
        </is>
      </c>
      <c r="F3" s="2" t="inlineStr">
        <is>
          <t>0–1: &gt;80%; 2–3: 60–80%; 4–5: &lt;60%</t>
        </is>
      </c>
      <c r="G3" s="2" t="inlineStr">
        <is>
          <t>Rule = f(% doanh thu mảng)</t>
        </is>
      </c>
      <c r="H3" s="2" t="inlineStr">
        <is>
          <t>% theo mảng/kênh</t>
        </is>
      </c>
      <c r="I3" s="2" t="inlineStr">
        <is>
          <t>Medium</t>
        </is>
      </c>
      <c r="J3" s="2" t="inlineStr">
        <is>
          <t>CHK_002</t>
        </is>
      </c>
      <c r="K3" s="2" t="n">
        <v>3</v>
      </c>
      <c r="L3" s="2" t="n">
        <v>3</v>
      </c>
      <c r="M3" s="2" t="inlineStr">
        <is>
          <t>Auto from CSV BCTC</t>
        </is>
      </c>
      <c r="N3" s="2" t="n">
        <v>3</v>
      </c>
    </row>
    <row r="4">
      <c r="A4" s="2" t="inlineStr">
        <is>
          <t>M1.3</t>
        </is>
      </c>
      <c r="B4" s="2" t="inlineStr">
        <is>
          <t>Meaning</t>
        </is>
      </c>
      <c r="C4" s="2" t="inlineStr">
        <is>
          <t>Khả năng mở rộng (scalability) &amp; chuyển đổi số?</t>
        </is>
      </c>
      <c r="D4" s="2" t="inlineStr">
        <is>
          <t>ĐHĐCĐ, phỏng vấn CEO, chiến lược</t>
        </is>
      </c>
      <c r="E4" s="2" t="inlineStr">
        <is>
          <t>Nêu digital channel/banca/cross-sell; minh chứng thực tế.</t>
        </is>
      </c>
      <c r="F4" s="2" t="inlineStr">
        <is>
          <t>0–1: không; 2–3: mơ hồ; 4–5: cụ thể</t>
        </is>
      </c>
      <c r="G4" s="2" t="inlineStr">
        <is>
          <t>Có dự án số hóa → +1</t>
        </is>
      </c>
      <c r="H4" s="2" t="inlineStr">
        <is>
          <t>Doanh thu số, #partnership</t>
        </is>
      </c>
      <c r="I4" s="2" t="inlineStr">
        <is>
          <t>High</t>
        </is>
      </c>
      <c r="J4" s="2" t="inlineStr">
        <is>
          <t>CHK_003</t>
        </is>
      </c>
      <c r="K4" s="2" t="n">
        <v>4</v>
      </c>
      <c r="L4" s="2" t="n">
        <v>5</v>
      </c>
      <c r="M4" s="2" t="inlineStr">
        <is>
          <t>Gắn nhãn “chuyển đổi số”</t>
        </is>
      </c>
      <c r="N4" s="2" t="n">
        <v>5</v>
      </c>
    </row>
    <row r="5">
      <c r="A5" s="2" t="inlineStr">
        <is>
          <t>M1.4</t>
        </is>
      </c>
      <c r="B5" s="2" t="inlineStr">
        <is>
          <t>Meaning</t>
        </is>
      </c>
      <c r="C5" s="2" t="inlineStr">
        <is>
          <t>Rủi ro bị thay thế/lỗi thời/cạnh tranh giá?</t>
        </is>
      </c>
      <c r="D5" s="2" t="inlineStr">
        <is>
          <t>Báo cáo ngành, SSI/VNDirect</t>
        </is>
      </c>
      <c r="E5" s="2" t="inlineStr">
        <is>
          <t>So sánh công nghệ, đối thủ; kết luận đe dọa.</t>
        </is>
      </c>
      <c r="F5" s="2" t="inlineStr">
        <is>
          <t>0–1: cao; 2–3: TB; 4–5: thấp</t>
        </is>
      </c>
      <c r="G5" s="2" t="inlineStr">
        <is>
          <t>GM ↓ &gt; 3pp/năm → −1</t>
        </is>
      </c>
      <c r="H5" s="2" t="inlineStr">
        <is>
          <t>Xu hướng GM</t>
        </is>
      </c>
      <c r="I5" s="2" t="inlineStr">
        <is>
          <t>Medium</t>
        </is>
      </c>
      <c r="J5" s="2" t="inlineStr">
        <is>
          <t>CHK_004</t>
        </is>
      </c>
      <c r="K5" s="2" t="n">
        <v>3</v>
      </c>
      <c r="L5" s="2" t="n">
        <v>3</v>
      </c>
      <c r="M5" s="2" t="inlineStr">
        <is>
          <t>Liên kết “Moat erosion”</t>
        </is>
      </c>
      <c r="N5" s="2" t="n">
        <v>3</v>
      </c>
    </row>
    <row r="6">
      <c r="A6" s="3" t="inlineStr">
        <is>
          <t>M2.1</t>
        </is>
      </c>
      <c r="B6" s="3" t="inlineStr">
        <is>
          <t>Moat</t>
        </is>
      </c>
      <c r="C6" s="3" t="inlineStr">
        <is>
          <t>Lợi thế cạnh tranh cốt lõi (brand/cost/network/regulation)?</t>
        </is>
      </c>
      <c r="D6" s="3" t="inlineStr">
        <is>
          <t>Báo cáo ngành, ĐHĐCĐ, phỏng vấn</t>
        </is>
      </c>
      <c r="E6" s="3" t="inlineStr">
        <is>
          <t>Nêu 1–2 lợi thế + bằng chứng định lượng.</t>
        </is>
      </c>
      <c r="F6" s="3" t="inlineStr">
        <is>
          <t>0–1: không rõ; 2–3: ngắn hạn; 4–5: bền &gt; 5y</t>
        </is>
      </c>
      <c r="G6" s="3" t="inlineStr">
        <is>
          <t>GM ổn ±2pp → +1</t>
        </is>
      </c>
      <c r="H6" s="3" t="inlineStr">
        <is>
          <t>GM, ROIC</t>
        </is>
      </c>
      <c r="I6" s="3" t="inlineStr">
        <is>
          <t>High</t>
        </is>
      </c>
      <c r="J6" s="3" t="inlineStr">
        <is>
          <t>CHK_005</t>
        </is>
      </c>
      <c r="K6" s="3" t="n">
        <v>4</v>
      </c>
      <c r="L6" s="3" t="n">
        <v>4</v>
      </c>
      <c r="M6" s="3" t="inlineStr">
        <is>
          <t>Embedding “advantage”</t>
        </is>
      </c>
      <c r="N6" s="3" t="n">
        <v>4</v>
      </c>
    </row>
    <row r="7">
      <c r="A7" s="3" t="inlineStr">
        <is>
          <t>M2.2</t>
        </is>
      </c>
      <c r="B7" s="3" t="inlineStr">
        <is>
          <t>Moat</t>
        </is>
      </c>
      <c r="C7" s="3" t="inlineStr">
        <is>
          <t>Thị phần &amp; biên lợi nhuận ổn định 5 năm?</t>
        </is>
      </c>
      <c r="D7" s="3" t="inlineStr">
        <is>
          <t>BCTC, báo cáo ngành</t>
        </is>
      </c>
      <c r="E7" s="3" t="inlineStr">
        <is>
          <t>Tính σ(market share), σ(GM); nhỏ = ổn định.</t>
        </is>
      </c>
      <c r="F7" s="3" t="inlineStr">
        <is>
          <t>0–1: &gt;10%; 2–3: 5–10%; 4–5: &lt;5%</t>
        </is>
      </c>
      <c r="G7" s="3" t="inlineStr">
        <is>
          <t>Rule = f(σ)</t>
        </is>
      </c>
      <c r="H7" s="3" t="inlineStr">
        <is>
          <t>Market share, GM</t>
        </is>
      </c>
      <c r="I7" s="3" t="inlineStr">
        <is>
          <t>High</t>
        </is>
      </c>
      <c r="J7" s="3" t="inlineStr">
        <is>
          <t>CHK_006</t>
        </is>
      </c>
      <c r="K7" s="3" t="n">
        <v>4</v>
      </c>
      <c r="L7" s="3" t="n">
        <v>4</v>
      </c>
      <c r="M7" s="3" t="inlineStr">
        <is>
          <t>Numeric reasoning</t>
        </is>
      </c>
      <c r="N7" s="3" t="n">
        <v>4</v>
      </c>
    </row>
    <row r="8">
      <c r="A8" s="3" t="inlineStr">
        <is>
          <t>M2.3</t>
        </is>
      </c>
      <c r="B8" s="3" t="inlineStr">
        <is>
          <t>Moat</t>
        </is>
      </c>
      <c r="C8" s="3" t="inlineStr">
        <is>
          <t>Rào cản pháp lý/vốn (regulatory moat)?</t>
        </is>
      </c>
      <c r="D8" s="3" t="inlineStr">
        <is>
          <t>Quy định, Thông tư, Bộ Tài chính</t>
        </is>
      </c>
      <c r="E8" s="3" t="inlineStr">
        <is>
          <t>Tóm tắt điều kiện cấp phép/vốn pháp định.</t>
        </is>
      </c>
      <c r="F8" s="3" t="inlineStr">
        <is>
          <t>0–1: không; 2–3: nhẹ; 4–5: mạnh</t>
        </is>
      </c>
      <c r="G8" s="3" t="inlineStr">
        <is>
          <t>License &gt; 3 năm hoặc vốn cao → +1</t>
        </is>
      </c>
      <c r="H8" s="3" t="inlineStr">
        <is>
          <t>Vốn pháp định, license years</t>
        </is>
      </c>
      <c r="I8" s="3" t="inlineStr">
        <is>
          <t>Medium</t>
        </is>
      </c>
      <c r="J8" s="3" t="inlineStr">
        <is>
          <t>CHK_007</t>
        </is>
      </c>
      <c r="K8" s="3" t="n">
        <v>5</v>
      </c>
      <c r="L8" s="3" t="n">
        <v>4</v>
      </c>
      <c r="M8" s="3" t="inlineStr">
        <is>
          <t>RAG pháp lý</t>
        </is>
      </c>
      <c r="N8" s="3" t="n">
        <v>4</v>
      </c>
    </row>
    <row r="9">
      <c r="A9" s="3" t="inlineStr">
        <is>
          <t>M2.4</t>
        </is>
      </c>
      <c r="B9" s="3" t="inlineStr">
        <is>
          <t>Moat</t>
        </is>
      </c>
      <c r="C9" s="3" t="inlineStr">
        <is>
          <t>Dấu hiệu xói mòn lợi thế 3 năm?</t>
        </is>
      </c>
      <c r="D9" s="3" t="inlineStr">
        <is>
          <t>BCTC, báo cáo ngành</t>
        </is>
      </c>
      <c r="E9" s="3" t="inlineStr">
        <is>
          <t>So sánh ∆ROIC, ∆GM; kết luận xu hướng.</t>
        </is>
      </c>
      <c r="F9" s="3" t="inlineStr">
        <is>
          <t>0–1: giảm mạnh; 2–3: nhẹ; 4–5: giữ/tăng</t>
        </is>
      </c>
      <c r="G9" s="3" t="inlineStr">
        <is>
          <t>Rule = f(∆ROIC, ∆GM)</t>
        </is>
      </c>
      <c r="H9" s="3" t="inlineStr">
        <is>
          <t>ROIC trend</t>
        </is>
      </c>
      <c r="I9" s="3" t="inlineStr">
        <is>
          <t>High</t>
        </is>
      </c>
      <c r="J9" s="3" t="inlineStr">
        <is>
          <t>CHK_008</t>
        </is>
      </c>
      <c r="K9" s="3" t="n">
        <v>3</v>
      </c>
      <c r="L9" s="3" t="n">
        <v>3</v>
      </c>
      <c r="M9" s="3" t="inlineStr">
        <is>
          <t>Feed vào Risk Agent</t>
        </is>
      </c>
      <c r="N9" s="3" t="n">
        <v>3</v>
      </c>
    </row>
    <row r="10">
      <c r="A10" s="4" t="inlineStr">
        <is>
          <t>M3.1</t>
        </is>
      </c>
      <c r="B10" s="4" t="inlineStr">
        <is>
          <t>Management</t>
        </is>
      </c>
      <c r="C10" s="4" t="inlineStr">
        <is>
          <t>Lãnh đạo có kinh nghiệm &amp; thành tích?</t>
        </is>
      </c>
      <c r="D10" s="4" t="inlineStr">
        <is>
          <t>BCTC (quản trị), LinkedIn, báo chí</t>
        </is>
      </c>
      <c r="E10" s="4" t="inlineStr">
        <is>
          <t>Tóm tắt &gt;5 năm kinh nghiệm + kết quả ROE.</t>
        </is>
      </c>
      <c r="F10" s="4" t="inlineStr">
        <is>
          <t>0–1: yếu; 2–3: TB; 4–5: mạnh</t>
        </is>
      </c>
      <c r="G10" s="4" t="inlineStr">
        <is>
          <t>ROE 5y avg &gt; 10% → +1</t>
        </is>
      </c>
      <c r="H10" s="4" t="inlineStr">
        <is>
          <t>ROE, tenure</t>
        </is>
      </c>
      <c r="I10" s="4" t="inlineStr">
        <is>
          <t>Medium</t>
        </is>
      </c>
      <c r="J10" s="4" t="inlineStr">
        <is>
          <t>CHK_009</t>
        </is>
      </c>
      <c r="K10" s="4" t="n">
        <v>4</v>
      </c>
      <c r="L10" s="4" t="n">
        <v>4</v>
      </c>
      <c r="M10" s="4" t="inlineStr">
        <is>
          <t>Entity linking</t>
        </is>
      </c>
      <c r="N10" s="4" t="n">
        <v>4</v>
      </c>
    </row>
    <row r="11">
      <c r="A11" s="4" t="inlineStr">
        <is>
          <t>M3.2</t>
        </is>
      </c>
      <c r="B11" s="4" t="inlineStr">
        <is>
          <t>Management</t>
        </is>
      </c>
      <c r="C11" s="4" t="inlineStr">
        <is>
          <t>Rủi ro đạo đức/giao dịch nội bộ/governance?</t>
        </is>
      </c>
      <c r="D11" s="4" t="inlineStr">
        <is>
          <t>CBTT HOSE/HNX, kiểm toán</t>
        </is>
      </c>
      <c r="E11" s="4" t="inlineStr">
        <is>
          <t>Liệt kê vi phạm, party transaction.</t>
        </is>
      </c>
      <c r="F11" s="4" t="inlineStr">
        <is>
          <t>0–1: nặng; 2–3: nhỏ; 4–5: không</t>
        </is>
      </c>
      <c r="G11" s="4" t="inlineStr">
        <is>
          <t>Audit “qualified” → −2</t>
        </is>
      </c>
      <c r="H11" s="4" t="inlineStr">
        <is>
          <t>#CBTT, audit note</t>
        </is>
      </c>
      <c r="I11" s="4" t="inlineStr">
        <is>
          <t>High</t>
        </is>
      </c>
      <c r="J11" s="4" t="inlineStr">
        <is>
          <t>CHK_010</t>
        </is>
      </c>
      <c r="K11" s="4" t="n">
        <v>5</v>
      </c>
      <c r="L11" s="4" t="n">
        <v>5</v>
      </c>
      <c r="M11" s="4" t="inlineStr">
        <is>
          <t>RAG CBTT</t>
        </is>
      </c>
      <c r="N11" s="4" t="n">
        <v>5</v>
      </c>
    </row>
    <row r="12">
      <c r="A12" s="4" t="inlineStr">
        <is>
          <t>M3.3</t>
        </is>
      </c>
      <c r="B12" s="4" t="inlineStr">
        <is>
          <t>Management</t>
        </is>
      </c>
      <c r="C12" s="4" t="inlineStr">
        <is>
          <t>Incentive có gắn hiệu quả (ESOP/KPI)?</t>
        </is>
      </c>
      <c r="D12" s="4" t="inlineStr">
        <is>
          <t>ĐHĐCĐ, AR</t>
        </is>
      </c>
      <c r="E12" s="4" t="inlineStr">
        <is>
          <t>Mô tả ESOP/KPI, sở hữu quản lý.</t>
        </is>
      </c>
      <c r="F12" s="4" t="inlineStr">
        <is>
          <t>0–1: mờ; 2–3: nhỏ; 4–5: rõ</t>
        </is>
      </c>
      <c r="G12" s="4" t="inlineStr">
        <is>
          <t>ESOP &gt; 1% → +1</t>
        </is>
      </c>
      <c r="H12" s="4" t="inlineStr">
        <is>
          <t>% ESOP, KPI</t>
        </is>
      </c>
      <c r="I12" s="4" t="inlineStr">
        <is>
          <t>Medium</t>
        </is>
      </c>
      <c r="J12" s="4" t="inlineStr">
        <is>
          <t>CHK_011</t>
        </is>
      </c>
      <c r="K12" s="4" t="n">
        <v>3</v>
      </c>
      <c r="L12" s="4" t="n">
        <v>3</v>
      </c>
      <c r="M12" s="4" t="inlineStr">
        <is>
          <t>Governance score</t>
        </is>
      </c>
      <c r="N12" s="4" t="n">
        <v>3</v>
      </c>
    </row>
    <row r="13">
      <c r="A13" s="4" t="inlineStr">
        <is>
          <t>M3.4</t>
        </is>
      </c>
      <c r="B13" s="4" t="inlineStr">
        <is>
          <t>Management</t>
        </is>
      </c>
      <c r="C13" s="4" t="inlineStr">
        <is>
          <t>Ổn định nhân sự cấp cao (CEO turnover)?</t>
        </is>
      </c>
      <c r="D13" s="4" t="inlineStr">
        <is>
          <t>BCTC, báo chí</t>
        </is>
      </c>
      <c r="E13" s="4" t="inlineStr">
        <is>
          <t>Đếm thay CEO/HĐQT 5 năm.</t>
        </is>
      </c>
      <c r="F13" s="4" t="inlineStr">
        <is>
          <t>0–1: &gt;3 lần; 2–3: 2 lần; 4–5: ≤1 lần</t>
        </is>
      </c>
      <c r="G13" s="4" t="inlineStr">
        <is>
          <t>Tenure &gt; 3 năm → +1</t>
        </is>
      </c>
      <c r="H13" s="4" t="inlineStr">
        <is>
          <t>CEO tenure</t>
        </is>
      </c>
      <c r="I13" s="4" t="inlineStr">
        <is>
          <t>High</t>
        </is>
      </c>
      <c r="J13" s="4" t="inlineStr">
        <is>
          <t>CHK_012</t>
        </is>
      </c>
      <c r="K13" s="4" t="n">
        <v>4</v>
      </c>
      <c r="L13" s="4" t="n">
        <v>4</v>
      </c>
      <c r="M13" s="4" t="inlineStr">
        <is>
          <t>Stability metric</t>
        </is>
      </c>
      <c r="N13" s="4" t="n">
        <v>4</v>
      </c>
    </row>
    <row r="14">
      <c r="A14" s="5" t="inlineStr">
        <is>
          <t>M4.1</t>
        </is>
      </c>
      <c r="B14" s="5" t="inlineStr">
        <is>
          <t>MOS</t>
        </is>
      </c>
      <c r="C14" s="5" t="inlineStr">
        <is>
          <t>Cấu trúc nợ an toàn không (đòn bẩy/DSCR)?</t>
        </is>
      </c>
      <c r="D14" s="5" t="inlineStr">
        <is>
          <t>CDKT, LCTT</t>
        </is>
      </c>
      <c r="E14" s="5" t="inlineStr">
        <is>
          <t>Kiểm tra D/E, coverage.</t>
        </is>
      </c>
      <c r="F14" s="5" t="inlineStr">
        <is>
          <t>0–1: D/E &gt; 0.8; 2–3: 0.5–0.8; 4–5: &lt;0.5</t>
        </is>
      </c>
      <c r="G14" s="5" t="inlineStr">
        <is>
          <t>Rule = f(D/E)</t>
        </is>
      </c>
      <c r="H14" s="5" t="inlineStr">
        <is>
          <t>D/E, coverage</t>
        </is>
      </c>
      <c r="I14" s="5" t="inlineStr">
        <is>
          <t>High</t>
        </is>
      </c>
      <c r="J14" s="5" t="inlineStr">
        <is>
          <t>CHK_013</t>
        </is>
      </c>
      <c r="K14" s="5" t="n">
        <v>5</v>
      </c>
      <c r="L14" s="5" t="n">
        <v>5</v>
      </c>
      <c r="M14" s="5" t="inlineStr">
        <is>
          <t>Numeric reasoning</t>
        </is>
      </c>
      <c r="N14" s="5" t="n">
        <v>5</v>
      </c>
    </row>
    <row r="15">
      <c r="A15" s="5" t="inlineStr">
        <is>
          <t>M4.2</t>
        </is>
      </c>
      <c r="B15" s="5" t="inlineStr">
        <is>
          <t>MOS</t>
        </is>
      </c>
      <c r="C15" s="5" t="inlineStr">
        <is>
          <t>CFO ổn định, dương liên tục?</t>
        </is>
      </c>
      <c r="D15" s="5" t="inlineStr">
        <is>
          <t>LCTT</t>
        </is>
      </c>
      <c r="E15" s="5" t="inlineStr">
        <is>
          <t>Phân tích CFO 5 năm.</t>
        </is>
      </c>
      <c r="F15" s="5" t="inlineStr">
        <is>
          <t>0–1: âm ≥2 năm; 2–3: dao động; 4–5: dương ổn</t>
        </is>
      </c>
      <c r="G15" s="5" t="inlineStr">
        <is>
          <t>CFO &lt;0 2y → −2</t>
        </is>
      </c>
      <c r="H15" s="5" t="inlineStr">
        <is>
          <t>CFO, σ(CFO)</t>
        </is>
      </c>
      <c r="I15" s="5" t="inlineStr">
        <is>
          <t>High</t>
        </is>
      </c>
      <c r="J15" s="5" t="inlineStr">
        <is>
          <t>CHK_014</t>
        </is>
      </c>
      <c r="K15" s="5" t="n">
        <v>4</v>
      </c>
      <c r="L15" s="5" t="n">
        <v>4</v>
      </c>
      <c r="M15" s="5" t="inlineStr">
        <is>
          <t>Liên kết FCFF</t>
        </is>
      </c>
      <c r="N15" s="5" t="n">
        <v>4</v>
      </c>
    </row>
    <row r="16">
      <c r="A16" s="5" t="inlineStr">
        <is>
          <t>M4.3</t>
        </is>
      </c>
      <c r="B16" s="5" t="inlineStr">
        <is>
          <t>MOS</t>
        </is>
      </c>
      <c r="C16" s="5" t="inlineStr">
        <is>
          <t>Định giá hiện tại có biên an toàn vs ngành/nội tại?</t>
        </is>
      </c>
      <c r="D16" s="5" t="inlineStr">
        <is>
          <t>Giá CP, DCF, peer multiples</t>
        </is>
      </c>
      <c r="E16" s="5" t="inlineStr">
        <is>
          <t>So sánh P/B, P/E với median ngành ±20%.</t>
        </is>
      </c>
      <c r="F16" s="5" t="inlineStr">
        <is>
          <t>0–1: premium &gt;30%; 2–3: ±10–20%; 4–5: discount &gt;20%</t>
        </is>
      </c>
      <c r="G16" s="5" t="inlineStr">
        <is>
          <t>MOS% = (Median–Firm)/Median</t>
        </is>
      </c>
      <c r="H16" s="5" t="inlineStr">
        <is>
          <t>P/B, P/E</t>
        </is>
      </c>
      <c r="I16" s="5" t="inlineStr">
        <is>
          <t>Medium</t>
        </is>
      </c>
      <c r="J16" s="5" t="inlineStr">
        <is>
          <t>CHK_015</t>
        </is>
      </c>
      <c r="K16" s="5" t="n">
        <v>4</v>
      </c>
      <c r="L16" s="5" t="n">
        <v>4</v>
      </c>
      <c r="M16" s="5" t="inlineStr">
        <is>
          <t>Cross-check DCF</t>
        </is>
      </c>
      <c r="N16" s="5" t="n">
        <v>4</v>
      </c>
    </row>
    <row r="17">
      <c r="A17" s="5" t="inlineStr">
        <is>
          <t>M4.4</t>
        </is>
      </c>
      <c r="B17" s="5" t="inlineStr">
        <is>
          <t>MOS</t>
        </is>
      </c>
      <c r="C17" s="5" t="inlineStr">
        <is>
          <t>Khả năng chịu sốc/khủng hoảng (stress resilience)?</t>
        </is>
      </c>
      <c r="D17" s="5" t="inlineStr">
        <is>
          <t>Báo cáo rủi ro, thuyết minh, tin tức</t>
        </is>
      </c>
      <c r="E17" s="5" t="inlineStr">
        <is>
          <t>Đánh giá LN trong khủng hoảng 2020.</t>
        </is>
      </c>
      <c r="F17" s="5" t="inlineStr">
        <is>
          <t>0–1: suy giảm mạnh; 2–3: TB; 4–5: phục hồi nhanh</t>
        </is>
      </c>
      <c r="G17" s="5" t="inlineStr">
        <is>
          <t>Profit drop &lt; 10% → +1</t>
        </is>
      </c>
      <c r="H17" s="5" t="inlineStr">
        <is>
          <t>∆LN, ∆GM</t>
        </is>
      </c>
      <c r="I17" s="5" t="inlineStr">
        <is>
          <t>Medium</t>
        </is>
      </c>
      <c r="J17" s="5" t="inlineStr">
        <is>
          <t>CHK_016</t>
        </is>
      </c>
      <c r="K17" s="5" t="n">
        <v>5</v>
      </c>
      <c r="L17" s="5" t="n">
        <v>4</v>
      </c>
      <c r="M17" s="5" t="inlineStr">
        <is>
          <t>Tin tức 2020–2022</t>
        </is>
      </c>
      <c r="N17" s="5" t="n">
        <v>4</v>
      </c>
    </row>
  </sheetData>
  <conditionalFormatting sqref="N2:N17">
    <cfRule type="colorScale" priority="1">
      <colorScale>
        <cfvo type="num" val="1"/>
        <cfvo type="num" val="3"/>
        <cfvo type="num" val="5"/>
        <color rgb="00F87171"/>
        <color rgb="00FBBF24"/>
        <color rgb="0034D399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8" customWidth="1" min="4" max="4"/>
  </cols>
  <sheetData>
    <row r="1">
      <c r="A1" s="6" t="inlineStr">
        <is>
          <t>M_group</t>
        </is>
      </c>
      <c r="B1" s="6" t="inlineStr">
        <is>
          <t>Group_Avg(0-5)</t>
        </is>
      </c>
      <c r="C1" s="6" t="inlineStr">
        <is>
          <t>Weight</t>
        </is>
      </c>
      <c r="D1" s="6" t="inlineStr">
        <is>
          <t>Weighted_Points</t>
        </is>
      </c>
    </row>
    <row r="2">
      <c r="A2" s="7" t="inlineStr">
        <is>
          <t>Meaning</t>
        </is>
      </c>
      <c r="B2" s="7">
        <f>AVERAGEIF(4M_Questions!B:B, A2, 4M_Questions!N:N)</f>
        <v/>
      </c>
      <c r="C2" s="7" t="n">
        <v>0.25</v>
      </c>
      <c r="D2" s="7">
        <f>(B2/5)*C2*100</f>
        <v/>
      </c>
    </row>
    <row r="3">
      <c r="A3" s="7" t="inlineStr">
        <is>
          <t>Moat</t>
        </is>
      </c>
      <c r="B3" s="7">
        <f>AVERAGEIF(4M_Questions!B:B, A3, 4M_Questions!N:N)</f>
        <v/>
      </c>
      <c r="C3" s="7" t="n">
        <v>0.35</v>
      </c>
      <c r="D3" s="7">
        <f>(B3/5)*C3*100</f>
        <v/>
      </c>
    </row>
    <row r="4">
      <c r="A4" s="7" t="inlineStr">
        <is>
          <t>Management</t>
        </is>
      </c>
      <c r="B4" s="7">
        <f>AVERAGEIF(4M_Questions!B:B, A4, 4M_Questions!N:N)</f>
        <v/>
      </c>
      <c r="C4" s="7" t="n">
        <v>0.2</v>
      </c>
      <c r="D4" s="7">
        <f>(B4/5)*C4*100</f>
        <v/>
      </c>
    </row>
    <row r="5">
      <c r="A5" s="7" t="inlineStr">
        <is>
          <t>MOS</t>
        </is>
      </c>
      <c r="B5" s="7">
        <f>AVERAGEIF(4M_Questions!B:B, A5, 4M_Questions!N:N)</f>
        <v/>
      </c>
      <c r="C5" s="7" t="n">
        <v>0.2</v>
      </c>
      <c r="D5" s="7">
        <f>(B5/5)*C5*100</f>
        <v/>
      </c>
    </row>
    <row r="6">
      <c r="A6" s="7" t="inlineStr">
        <is>
          <t>TOTAL_4M</t>
        </is>
      </c>
      <c r="B6" s="7" t="inlineStr"/>
      <c r="C6" s="7" t="inlineStr"/>
      <c r="D6" s="7" t="n">
        <v>78</v>
      </c>
    </row>
    <row r="7">
      <c r="A7" t="inlineStr">
        <is>
          <t>TOTAL_4M_DYNAMIC</t>
        </is>
      </c>
      <c r="D7">
        <f>SUM(D2:D5)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2025-11-13T11:19:07Z</dcterms:created>
  <dcterms:modified xmlns:dcterms="http://purl.org/dc/terms/" xmlns:xsi="http://www.w3.org/2001/XMLSchema-instance" xsi:type="dcterms:W3CDTF">2025-11-13T11:19:07Z</dcterms:modified>
</cp:coreProperties>
</file>